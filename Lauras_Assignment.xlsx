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wnloads\"/>
    </mc:Choice>
  </mc:AlternateContent>
  <xr:revisionPtr revIDLastSave="0" documentId="8_{9BD10E9B-8E4A-47B5-A3DA-24CBAA77F2C6}" xr6:coauthVersionLast="47" xr6:coauthVersionMax="47" xr10:uidLastSave="{00000000-0000-0000-0000-000000000000}"/>
  <bookViews>
    <workbookView xWindow="-108" yWindow="-108" windowWidth="23256" windowHeight="12456" activeTab="5" xr2:uid="{A8F3B4E4-13AC-487A-8DAB-13E365CA77FF}"/>
  </bookViews>
  <sheets>
    <sheet name="accounts" sheetId="1" r:id="rId1"/>
    <sheet name="orders" sheetId="2" r:id="rId2"/>
    <sheet name="web_events" sheetId="3" r:id="rId3"/>
    <sheet name="sales_reps" sheetId="4" r:id="rId4"/>
    <sheet name="region" sheetId="5" r:id="rId5"/>
    <sheet name="ERD 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" i="7" l="1" a="1"/>
  <c r="L18" i="7" s="1"/>
  <c r="F14" i="7" a="1"/>
  <c r="F7" i="7" a="1"/>
  <c r="L4" i="7" a="1"/>
  <c r="L4" i="7" s="1"/>
  <c r="I7" i="7" a="1"/>
  <c r="I7" i="7" s="1"/>
  <c r="F14" i="7" l="1"/>
  <c r="F7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<sst xmlns="http://schemas.openxmlformats.org/spreadsheetml/2006/main" count="160" uniqueCount="129">
  <si>
    <t>id</t>
  </si>
  <si>
    <t>name</t>
  </si>
  <si>
    <t>website</t>
  </si>
  <si>
    <t>lat</t>
  </si>
  <si>
    <t>long</t>
  </si>
  <si>
    <t>primary_poc</t>
  </si>
  <si>
    <t>sales_rep_id</t>
  </si>
  <si>
    <t>Walmart</t>
  </si>
  <si>
    <t>www.walmart.com</t>
  </si>
  <si>
    <t>Tamara Tuma</t>
  </si>
  <si>
    <t>Exxon Mobil</t>
  </si>
  <si>
    <t>www.exxonmobil.com</t>
  </si>
  <si>
    <t>Sung Shields</t>
  </si>
  <si>
    <t>Apple</t>
  </si>
  <si>
    <t>www.apple.com</t>
  </si>
  <si>
    <t>Jodee Lupo</t>
  </si>
  <si>
    <t>Berkshire Hathaway</t>
  </si>
  <si>
    <t>www.berkshirehathaway.com</t>
  </si>
  <si>
    <t>Serafina Banda</t>
  </si>
  <si>
    <t>McKesson</t>
  </si>
  <si>
    <t>www.mckesson.com</t>
  </si>
  <si>
    <t>Angeles Crusoe</t>
  </si>
  <si>
    <t>UnitedHealth Group</t>
  </si>
  <si>
    <t>www.unitedhealthgroup.com</t>
  </si>
  <si>
    <t>Savanna Gayman</t>
  </si>
  <si>
    <t>CVS Health</t>
  </si>
  <si>
    <t>www.cvshealth.com</t>
  </si>
  <si>
    <t>Anabel Haskell</t>
  </si>
  <si>
    <t>General Motors</t>
  </si>
  <si>
    <t>www.gm.com</t>
  </si>
  <si>
    <t>Barrie Omeara</t>
  </si>
  <si>
    <t>Ford Motor</t>
  </si>
  <si>
    <t>www.ford.com</t>
  </si>
  <si>
    <t>Kym Hagerman</t>
  </si>
  <si>
    <t>AT&amp;T</t>
  </si>
  <si>
    <t>www.att.com</t>
  </si>
  <si>
    <t>Jamel Mosqueda</t>
  </si>
  <si>
    <t>General Electric</t>
  </si>
  <si>
    <t>www.ge.com</t>
  </si>
  <si>
    <t>Parker Hoggan</t>
  </si>
  <si>
    <t>AmerisourceBergen</t>
  </si>
  <si>
    <t>www.amerisourcebergen.com</t>
  </si>
  <si>
    <t>Tuan Trainer</t>
  </si>
  <si>
    <t>Verizon</t>
  </si>
  <si>
    <t>www.verizon.com</t>
  </si>
  <si>
    <t>Chantell Drescher</t>
  </si>
  <si>
    <t>Chevron</t>
  </si>
  <si>
    <t>www.chevron.com</t>
  </si>
  <si>
    <t>Paige Bartos</t>
  </si>
  <si>
    <t>Costco</t>
  </si>
  <si>
    <t>www.costco.com</t>
  </si>
  <si>
    <t>Dominique Favela</t>
  </si>
  <si>
    <t>Fannie Mae</t>
  </si>
  <si>
    <t>www.fanniemae.com</t>
  </si>
  <si>
    <t>Terrilyn Kesler</t>
  </si>
  <si>
    <t>account_id</t>
  </si>
  <si>
    <t>occurred_at</t>
  </si>
  <si>
    <t>standard_qty</t>
  </si>
  <si>
    <t>gloss_qty</t>
  </si>
  <si>
    <t>poster_qty</t>
  </si>
  <si>
    <t>total</t>
  </si>
  <si>
    <t>standard_amt_usd</t>
  </si>
  <si>
    <t>gloss_amt_usd</t>
  </si>
  <si>
    <t>poster_amt_usd</t>
  </si>
  <si>
    <t>total_amt_usd</t>
  </si>
  <si>
    <t>2015-10-06T17:31:14.000Z</t>
  </si>
  <si>
    <t>2015-11-05T03:34:33.000Z</t>
  </si>
  <si>
    <t>2015-12-04T04:21:55.000Z</t>
  </si>
  <si>
    <t>2016-01-02T01:18:24.000Z</t>
  </si>
  <si>
    <t>2016-02-01T19:27:27.000Z</t>
  </si>
  <si>
    <t>2016-03-02T15:29:32.000Z</t>
  </si>
  <si>
    <t>2016-04-01T11:20:18.000Z</t>
  </si>
  <si>
    <t>2016-05-01T15:55:51.000Z</t>
  </si>
  <si>
    <t>2016-05-31T21:22:48.000Z</t>
  </si>
  <si>
    <t>2016-06-30T12:32:05.000Z</t>
  </si>
  <si>
    <t>2016-07-30T03:26:30.000Z</t>
  </si>
  <si>
    <t>2016-08-28T07:13:39.000Z</t>
  </si>
  <si>
    <t>2016-09-26T23:28:25.000Z</t>
  </si>
  <si>
    <t>2016-10-26T20:31:30.000Z</t>
  </si>
  <si>
    <t>2016-11-25T23:21:32.000Z</t>
  </si>
  <si>
    <t>2016-12-24T05:53:13.000Z</t>
  </si>
  <si>
    <t>Northeast</t>
  </si>
  <si>
    <t>Midwest</t>
  </si>
  <si>
    <t>Southeast</t>
  </si>
  <si>
    <t>West</t>
  </si>
  <si>
    <t>region_id</t>
  </si>
  <si>
    <t>Samuel Racine</t>
  </si>
  <si>
    <t>Eugena Esser</t>
  </si>
  <si>
    <t>Michel Averette</t>
  </si>
  <si>
    <t>Renetta Carew</t>
  </si>
  <si>
    <t>Cara Clarke</t>
  </si>
  <si>
    <t>Lavera Oles</t>
  </si>
  <si>
    <t>Elba Felder</t>
  </si>
  <si>
    <t>Shawanda Selke</t>
  </si>
  <si>
    <t>Sibyl Lauria</t>
  </si>
  <si>
    <t>Necole Victory</t>
  </si>
  <si>
    <t>Ernestine Pickron</t>
  </si>
  <si>
    <t>Ayesha Monica</t>
  </si>
  <si>
    <t>Retha Sears</t>
  </si>
  <si>
    <t>Julia Behrman</t>
  </si>
  <si>
    <t>Tia Amato</t>
  </si>
  <si>
    <t>Akilah Drinkard</t>
  </si>
  <si>
    <t>Silvana Virden</t>
  </si>
  <si>
    <t>channel</t>
  </si>
  <si>
    <t>2015-10-06T17:13:58.000Z</t>
  </si>
  <si>
    <t>direct</t>
  </si>
  <si>
    <t>2015-11-05T03:08:26.000Z</t>
  </si>
  <si>
    <t>2015-12-04T03:57:24.000Z</t>
  </si>
  <si>
    <t>2016-01-02T00:55:03.000Z</t>
  </si>
  <si>
    <t>2016-02-01T19:02:33.000Z</t>
  </si>
  <si>
    <t>2016-03-02T15:15:22.000Z</t>
  </si>
  <si>
    <t>2016-04-01T10:58:55.000Z</t>
  </si>
  <si>
    <t>2016-05-01T15:26:44.000Z</t>
  </si>
  <si>
    <t>2016-05-31T20:53:47.000Z</t>
  </si>
  <si>
    <t>2016-06-30T12:09:45.000Z</t>
  </si>
  <si>
    <t>2016-07-30T03:06:26.000Z</t>
  </si>
  <si>
    <t>2016-08-28T06:42:42.000Z</t>
  </si>
  <si>
    <t>2016-09-26T23:14:59.000Z</t>
  </si>
  <si>
    <t>2016-10-26T20:21:09.000Z</t>
  </si>
  <si>
    <t>2016-11-25T22:52:29.000Z</t>
  </si>
  <si>
    <t>2016-12-24T05:35:14.000Z</t>
  </si>
  <si>
    <t>2016-12-21T10:29:36.000Z</t>
  </si>
  <si>
    <t>orders</t>
  </si>
  <si>
    <t>sales_reps</t>
  </si>
  <si>
    <t>region</t>
  </si>
  <si>
    <t>web_events</t>
  </si>
  <si>
    <t>PK</t>
  </si>
  <si>
    <t>FK</t>
  </si>
  <si>
    <t xml:space="preserve"> 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</si>
</sst>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0B0B0B"/>
      <name val="Times New Roman"/>
      <family val="1"/>
    </font>
    <font>
      <sz val="12"/>
      <color rgb="FF0B0B0B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AFB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0" fontId="5" fillId="5" borderId="1" xfId="0" applyFont="1" applyFill="1" applyBorder="1" applyAlignment="1">
      <alignment horizontal="left" vertical="center" indent="2"/>
    </xf>
    <xf numFmtId="0" fontId="3" fillId="5" borderId="1" xfId="0" applyFont="1" applyFill="1" applyBorder="1" applyAlignment="1">
      <alignment horizontal="left" vertical="center" indent="2"/>
    </xf>
    <xf numFmtId="0" fontId="3" fillId="3" borderId="1" xfId="0" applyFont="1" applyFill="1" applyBorder="1" applyAlignment="1">
      <alignment horizontal="left" vertical="center" indent="2"/>
    </xf>
    <xf numFmtId="0" fontId="3" fillId="4" borderId="1" xfId="0" applyFont="1" applyFill="1" applyBorder="1" applyAlignment="1">
      <alignment horizontal="left" vertical="center" indent="2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6" fillId="0" borderId="0" xfId="0" applyFont="1" applyAlignment="1">
      <alignment horizontal="center"/>
    </xf>
    <xf numFmtId="0" fontId="6" fillId="5" borderId="0" xfId="0" applyFont="1" applyFill="1"/>
    <xf numFmtId="0" fontId="4" fillId="8" borderId="1" xfId="0" applyFont="1" applyFill="1" applyBorder="1" applyAlignment="1">
      <alignment horizontal="left" vertical="center" indent="2"/>
    </xf>
    <xf numFmtId="0" fontId="2" fillId="6" borderId="1" xfId="0" applyFont="1" applyFill="1" applyBorder="1" applyAlignment="1">
      <alignment horizontal="left" vertical="center" indent="2"/>
    </xf>
    <xf numFmtId="0" fontId="2" fillId="9" borderId="1" xfId="0" applyFont="1" applyFill="1" applyBorder="1" applyAlignment="1">
      <alignment horizontal="left" vertical="center" indent="2"/>
    </xf>
    <xf numFmtId="0" fontId="4" fillId="10" borderId="1" xfId="1" applyFont="1" applyFill="1" applyBorder="1" applyAlignment="1">
      <alignment horizontal="left" vertical="center" indent="2"/>
    </xf>
    <xf numFmtId="0" fontId="4" fillId="11" borderId="1" xfId="1" applyFont="1" applyFill="1" applyBorder="1" applyAlignment="1">
      <alignment horizontal="left" vertical="center" indent="2"/>
    </xf>
    <xf numFmtId="0" fontId="6" fillId="7" borderId="4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6" fillId="10" borderId="3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6" fillId="9" borderId="3" xfId="0" applyFont="1" applyFill="1" applyBorder="1" applyAlignment="1">
      <alignment horizont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6</xdr:row>
      <xdr:rowOff>106680</xdr:rowOff>
    </xdr:from>
    <xdr:to>
      <xdr:col>7</xdr:col>
      <xdr:colOff>7620</xdr:colOff>
      <xdr:row>7</xdr:row>
      <xdr:rowOff>106680</xdr:rowOff>
    </xdr:to>
    <xdr:cxnSp macro="">
      <xdr:nvCxnSpPr>
        <xdr:cNvPr id="26" name="Connector: Elbow 25">
          <a:extLst>
            <a:ext uri="{FF2B5EF4-FFF2-40B4-BE49-F238E27FC236}">
              <a16:creationId xmlns:a16="http://schemas.microsoft.com/office/drawing/2014/main" id="{EF4E406C-0F25-26C1-9F06-7B8739D2672F}"/>
            </a:ext>
          </a:extLst>
        </xdr:cNvPr>
        <xdr:cNvCxnSpPr/>
      </xdr:nvCxnSpPr>
      <xdr:spPr>
        <a:xfrm flipV="1">
          <a:off x="4000500" y="1264920"/>
          <a:ext cx="868680" cy="182880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</xdr:row>
      <xdr:rowOff>53340</xdr:rowOff>
    </xdr:from>
    <xdr:to>
      <xdr:col>7</xdr:col>
      <xdr:colOff>0</xdr:colOff>
      <xdr:row>13</xdr:row>
      <xdr:rowOff>76200</xdr:rowOff>
    </xdr:to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id="{A19C9147-D450-42F5-B56B-64DB2C7C8E07}"/>
            </a:ext>
          </a:extLst>
        </xdr:cNvPr>
        <xdr:cNvCxnSpPr/>
      </xdr:nvCxnSpPr>
      <xdr:spPr>
        <a:xfrm flipV="1">
          <a:off x="3992880" y="2308860"/>
          <a:ext cx="868680" cy="220980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</xdr:row>
      <xdr:rowOff>83820</xdr:rowOff>
    </xdr:from>
    <xdr:to>
      <xdr:col>10</xdr:col>
      <xdr:colOff>0</xdr:colOff>
      <xdr:row>6</xdr:row>
      <xdr:rowOff>83820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CC139704-2E45-4D14-BBBB-2B9B35DF0438}"/>
            </a:ext>
          </a:extLst>
        </xdr:cNvPr>
        <xdr:cNvCxnSpPr/>
      </xdr:nvCxnSpPr>
      <xdr:spPr>
        <a:xfrm flipV="1">
          <a:off x="6134100" y="845820"/>
          <a:ext cx="769620" cy="396240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15</xdr:row>
      <xdr:rowOff>53340</xdr:rowOff>
    </xdr:from>
    <xdr:to>
      <xdr:col>10</xdr:col>
      <xdr:colOff>7620</xdr:colOff>
      <xdr:row>17</xdr:row>
      <xdr:rowOff>60960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FF39991D-29A8-44C7-962E-0D773D603812}"/>
            </a:ext>
          </a:extLst>
        </xdr:cNvPr>
        <xdr:cNvCxnSpPr/>
      </xdr:nvCxnSpPr>
      <xdr:spPr>
        <a:xfrm>
          <a:off x="4000500" y="2872740"/>
          <a:ext cx="2910840" cy="388620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15</xdr:row>
      <xdr:rowOff>53340</xdr:rowOff>
    </xdr:from>
    <xdr:to>
      <xdr:col>6</xdr:col>
      <xdr:colOff>137160</xdr:colOff>
      <xdr:row>15</xdr:row>
      <xdr:rowOff>106680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CD2AFA19-8B91-5DAD-403C-332AFAEC0618}"/>
            </a:ext>
          </a:extLst>
        </xdr:cNvPr>
        <xdr:cNvCxnSpPr/>
      </xdr:nvCxnSpPr>
      <xdr:spPr>
        <a:xfrm flipH="1">
          <a:off x="4000500" y="2872740"/>
          <a:ext cx="129540" cy="5334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14</xdr:row>
      <xdr:rowOff>152400</xdr:rowOff>
    </xdr:from>
    <xdr:to>
      <xdr:col>6</xdr:col>
      <xdr:colOff>160020</xdr:colOff>
      <xdr:row>15</xdr:row>
      <xdr:rowOff>60960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E29CF634-2D04-48EC-8FE8-045A031B1202}"/>
            </a:ext>
          </a:extLst>
        </xdr:cNvPr>
        <xdr:cNvCxnSpPr/>
      </xdr:nvCxnSpPr>
      <xdr:spPr>
        <a:xfrm flipH="1" flipV="1">
          <a:off x="4000500" y="2788920"/>
          <a:ext cx="152400" cy="9144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762000</xdr:colOff>
      <xdr:row>12</xdr:row>
      <xdr:rowOff>60960</xdr:rowOff>
    </xdr:from>
    <xdr:to>
      <xdr:col>7</xdr:col>
      <xdr:colOff>0</xdr:colOff>
      <xdr:row>12</xdr:row>
      <xdr:rowOff>114300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FAF2820-51C7-4352-8708-966AFA127BD0}"/>
            </a:ext>
          </a:extLst>
        </xdr:cNvPr>
        <xdr:cNvCxnSpPr/>
      </xdr:nvCxnSpPr>
      <xdr:spPr>
        <a:xfrm>
          <a:off x="4754880" y="2316480"/>
          <a:ext cx="106680" cy="5334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746760</xdr:colOff>
      <xdr:row>11</xdr:row>
      <xdr:rowOff>152400</xdr:rowOff>
    </xdr:from>
    <xdr:to>
      <xdr:col>7</xdr:col>
      <xdr:colOff>0</xdr:colOff>
      <xdr:row>12</xdr:row>
      <xdr:rowOff>60960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5BA63BF5-1069-4D62-8C6B-E7E1AE9BD581}"/>
            </a:ext>
          </a:extLst>
        </xdr:cNvPr>
        <xdr:cNvCxnSpPr/>
      </xdr:nvCxnSpPr>
      <xdr:spPr>
        <a:xfrm flipV="1">
          <a:off x="4739640" y="2225040"/>
          <a:ext cx="121920" cy="9144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655320</xdr:colOff>
      <xdr:row>4</xdr:row>
      <xdr:rowOff>22860</xdr:rowOff>
    </xdr:from>
    <xdr:to>
      <xdr:col>9</xdr:col>
      <xdr:colOff>762000</xdr:colOff>
      <xdr:row>4</xdr:row>
      <xdr:rowOff>83820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F7842762-D848-4EE7-B55D-2C174DE0407E}"/>
            </a:ext>
          </a:extLst>
        </xdr:cNvPr>
        <xdr:cNvCxnSpPr/>
      </xdr:nvCxnSpPr>
      <xdr:spPr>
        <a:xfrm flipV="1">
          <a:off x="6789420" y="784860"/>
          <a:ext cx="106680" cy="6096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647700</xdr:colOff>
      <xdr:row>4</xdr:row>
      <xdr:rowOff>91440</xdr:rowOff>
    </xdr:from>
    <xdr:to>
      <xdr:col>10</xdr:col>
      <xdr:colOff>0</xdr:colOff>
      <xdr:row>4</xdr:row>
      <xdr:rowOff>144780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6293D002-09AF-4CCF-AF59-1AEA97CDD003}"/>
            </a:ext>
          </a:extLst>
        </xdr:cNvPr>
        <xdr:cNvCxnSpPr/>
      </xdr:nvCxnSpPr>
      <xdr:spPr>
        <a:xfrm>
          <a:off x="6781800" y="853440"/>
          <a:ext cx="121920" cy="5334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</xdr:row>
      <xdr:rowOff>7620</xdr:rowOff>
    </xdr:from>
    <xdr:to>
      <xdr:col>6</xdr:col>
      <xdr:colOff>76200</xdr:colOff>
      <xdr:row>7</xdr:row>
      <xdr:rowOff>99060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A0B056B0-7481-4CD0-A707-8BE00C609D45}"/>
            </a:ext>
          </a:extLst>
        </xdr:cNvPr>
        <xdr:cNvCxnSpPr/>
      </xdr:nvCxnSpPr>
      <xdr:spPr>
        <a:xfrm>
          <a:off x="3992880" y="1348740"/>
          <a:ext cx="76200" cy="9144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</xdr:row>
      <xdr:rowOff>106680</xdr:rowOff>
    </xdr:from>
    <xdr:to>
      <xdr:col>6</xdr:col>
      <xdr:colOff>91440</xdr:colOff>
      <xdr:row>7</xdr:row>
      <xdr:rowOff>160020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387DD4F8-6459-4B83-AB47-7CEC64910435}"/>
            </a:ext>
          </a:extLst>
        </xdr:cNvPr>
        <xdr:cNvCxnSpPr/>
      </xdr:nvCxnSpPr>
      <xdr:spPr>
        <a:xfrm flipV="1">
          <a:off x="3992880" y="1447800"/>
          <a:ext cx="91440" cy="5334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777240</xdr:colOff>
      <xdr:row>6</xdr:row>
      <xdr:rowOff>7620</xdr:rowOff>
    </xdr:from>
    <xdr:to>
      <xdr:col>6</xdr:col>
      <xdr:colOff>777240</xdr:colOff>
      <xdr:row>7</xdr:row>
      <xdr:rowOff>0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3BBF85A1-8BFF-256C-B149-73975B7EA762}"/>
            </a:ext>
          </a:extLst>
        </xdr:cNvPr>
        <xdr:cNvCxnSpPr/>
      </xdr:nvCxnSpPr>
      <xdr:spPr>
        <a:xfrm>
          <a:off x="4770120" y="1165860"/>
          <a:ext cx="0" cy="17526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121920</xdr:colOff>
      <xdr:row>12</xdr:row>
      <xdr:rowOff>182880</xdr:rowOff>
    </xdr:from>
    <xdr:to>
      <xdr:col>6</xdr:col>
      <xdr:colOff>121920</xdr:colOff>
      <xdr:row>13</xdr:row>
      <xdr:rowOff>160020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72CC356E-4C8C-4B39-A406-683668A8CC2C}"/>
            </a:ext>
          </a:extLst>
        </xdr:cNvPr>
        <xdr:cNvCxnSpPr/>
      </xdr:nvCxnSpPr>
      <xdr:spPr>
        <a:xfrm>
          <a:off x="4114800" y="2438400"/>
          <a:ext cx="0" cy="17526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99060</xdr:colOff>
      <xdr:row>5</xdr:row>
      <xdr:rowOff>182880</xdr:rowOff>
    </xdr:from>
    <xdr:to>
      <xdr:col>9</xdr:col>
      <xdr:colOff>99060</xdr:colOff>
      <xdr:row>6</xdr:row>
      <xdr:rowOff>160020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DFC8D327-276F-40EF-AE1A-A0698E6FD341}"/>
            </a:ext>
          </a:extLst>
        </xdr:cNvPr>
        <xdr:cNvCxnSpPr/>
      </xdr:nvCxnSpPr>
      <xdr:spPr>
        <a:xfrm>
          <a:off x="6233160" y="1143000"/>
          <a:ext cx="0" cy="17526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670560</xdr:colOff>
      <xdr:row>16</xdr:row>
      <xdr:rowOff>175260</xdr:rowOff>
    </xdr:from>
    <xdr:to>
      <xdr:col>9</xdr:col>
      <xdr:colOff>670560</xdr:colOff>
      <xdr:row>17</xdr:row>
      <xdr:rowOff>152400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7AA1DBC6-73C5-423E-8AF4-1DF6449FF6FE}"/>
            </a:ext>
          </a:extLst>
        </xdr:cNvPr>
        <xdr:cNvCxnSpPr/>
      </xdr:nvCxnSpPr>
      <xdr:spPr>
        <a:xfrm>
          <a:off x="6804660" y="3177540"/>
          <a:ext cx="0" cy="17526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FB13-9443-43B6-AEBD-926ADCFFF6F2}">
  <dimension ref="A1:G17"/>
  <sheetViews>
    <sheetView workbookViewId="0">
      <selection activeCell="D22" sqref="D22"/>
    </sheetView>
  </sheetViews>
  <sheetFormatPr defaultRowHeight="14.4" x14ac:dyDescent="0.3"/>
  <cols>
    <col min="1" max="1" width="25.5546875" customWidth="1"/>
    <col min="2" max="3" width="22.5546875" customWidth="1"/>
    <col min="4" max="4" width="23.77734375" customWidth="1"/>
    <col min="5" max="5" width="16.77734375" customWidth="1"/>
    <col min="6" max="6" width="20.77734375" customWidth="1"/>
    <col min="7" max="7" width="21.6640625" customWidth="1"/>
  </cols>
  <sheetData>
    <row r="1" spans="1:7" ht="15.6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spans="1:7" ht="15.6" x14ac:dyDescent="0.3">
      <c r="A2" s="1">
        <v>1001</v>
      </c>
      <c r="B2" s="1" t="s">
        <v>7</v>
      </c>
      <c r="C2" s="1" t="s">
        <v>8</v>
      </c>
      <c r="D2" s="1">
        <v>40.238495610000001</v>
      </c>
      <c r="E2" s="1">
        <v>-75.103297040000001</v>
      </c>
      <c r="F2" s="1" t="s">
        <v>9</v>
      </c>
      <c r="G2" s="1">
        <v>321500</v>
      </c>
    </row>
    <row r="3" spans="1:7" ht="15.6" x14ac:dyDescent="0.3">
      <c r="A3" s="1">
        <v>1011</v>
      </c>
      <c r="B3" s="1" t="s">
        <v>10</v>
      </c>
      <c r="C3" s="1" t="s">
        <v>11</v>
      </c>
      <c r="D3" s="1">
        <v>41.169156299999997</v>
      </c>
      <c r="E3" s="1">
        <v>-73.849373790000001</v>
      </c>
      <c r="F3" s="1" t="s">
        <v>12</v>
      </c>
      <c r="G3" s="1">
        <v>321510</v>
      </c>
    </row>
    <row r="4" spans="1:7" ht="15.6" x14ac:dyDescent="0.3">
      <c r="A4" s="1">
        <v>1021</v>
      </c>
      <c r="B4" s="1" t="s">
        <v>13</v>
      </c>
      <c r="C4" s="1" t="s">
        <v>14</v>
      </c>
      <c r="D4" s="1">
        <v>42.290494809999998</v>
      </c>
      <c r="E4" s="1">
        <v>-76.084009420000001</v>
      </c>
      <c r="F4" s="1" t="s">
        <v>15</v>
      </c>
      <c r="G4" s="1">
        <v>321520</v>
      </c>
    </row>
    <row r="5" spans="1:7" ht="15.6" x14ac:dyDescent="0.3">
      <c r="A5" s="1">
        <v>1031</v>
      </c>
      <c r="B5" s="1" t="s">
        <v>16</v>
      </c>
      <c r="C5" s="1" t="s">
        <v>17</v>
      </c>
      <c r="D5" s="1">
        <v>40.949021309999999</v>
      </c>
      <c r="E5" s="1">
        <v>-75.763897589999999</v>
      </c>
      <c r="F5" s="1" t="s">
        <v>18</v>
      </c>
      <c r="G5" s="1">
        <v>321530</v>
      </c>
    </row>
    <row r="6" spans="1:7" ht="15.6" x14ac:dyDescent="0.3">
      <c r="A6" s="1">
        <v>1041</v>
      </c>
      <c r="B6" s="1" t="s">
        <v>19</v>
      </c>
      <c r="C6" s="1" t="s">
        <v>20</v>
      </c>
      <c r="D6" s="1">
        <v>42.217093259999999</v>
      </c>
      <c r="E6" s="1">
        <v>-75.284998229999999</v>
      </c>
      <c r="F6" s="1" t="s">
        <v>21</v>
      </c>
      <c r="G6" s="1">
        <v>321540</v>
      </c>
    </row>
    <row r="7" spans="1:7" ht="15.6" x14ac:dyDescent="0.3">
      <c r="A7" s="1">
        <v>1051</v>
      </c>
      <c r="B7" s="1" t="s">
        <v>22</v>
      </c>
      <c r="C7" s="1" t="s">
        <v>23</v>
      </c>
      <c r="D7" s="1">
        <v>40.087925419999998</v>
      </c>
      <c r="E7" s="1">
        <v>-75.575693959999995</v>
      </c>
      <c r="F7" s="1" t="s">
        <v>24</v>
      </c>
      <c r="G7" s="1">
        <v>321550</v>
      </c>
    </row>
    <row r="8" spans="1:7" ht="15.6" x14ac:dyDescent="0.3">
      <c r="A8" s="1">
        <v>1061</v>
      </c>
      <c r="B8" s="1" t="s">
        <v>25</v>
      </c>
      <c r="C8" s="1" t="s">
        <v>26</v>
      </c>
      <c r="D8" s="1">
        <v>41.467795850000002</v>
      </c>
      <c r="E8" s="1">
        <v>-73.767636379999999</v>
      </c>
      <c r="F8" s="1" t="s">
        <v>27</v>
      </c>
      <c r="G8" s="1">
        <v>321560</v>
      </c>
    </row>
    <row r="9" spans="1:7" ht="15.6" x14ac:dyDescent="0.3">
      <c r="A9" s="1">
        <v>1071</v>
      </c>
      <c r="B9" s="1" t="s">
        <v>28</v>
      </c>
      <c r="C9" s="1" t="s">
        <v>29</v>
      </c>
      <c r="D9" s="1">
        <v>40.805517620000003</v>
      </c>
      <c r="E9" s="1">
        <v>-76.710181399999996</v>
      </c>
      <c r="F9" s="1" t="s">
        <v>30</v>
      </c>
      <c r="G9" s="1">
        <v>321570</v>
      </c>
    </row>
    <row r="10" spans="1:7" ht="15.6" x14ac:dyDescent="0.3">
      <c r="A10" s="1">
        <v>1081</v>
      </c>
      <c r="B10" s="1" t="s">
        <v>31</v>
      </c>
      <c r="C10" s="1" t="s">
        <v>32</v>
      </c>
      <c r="D10" s="1">
        <v>41.113942000000002</v>
      </c>
      <c r="E10" s="1">
        <v>-75.854224520000002</v>
      </c>
      <c r="F10" s="1" t="s">
        <v>33</v>
      </c>
      <c r="G10" s="1">
        <v>321580</v>
      </c>
    </row>
    <row r="11" spans="1:7" ht="15.6" x14ac:dyDescent="0.3">
      <c r="A11" s="1">
        <v>1091</v>
      </c>
      <c r="B11" s="1" t="s">
        <v>34</v>
      </c>
      <c r="C11" s="1" t="s">
        <v>35</v>
      </c>
      <c r="D11" s="1">
        <v>42.4974627</v>
      </c>
      <c r="E11" s="1">
        <v>-74.902712249999993</v>
      </c>
      <c r="F11" s="1" t="s">
        <v>36</v>
      </c>
      <c r="G11" s="1">
        <v>321590</v>
      </c>
    </row>
    <row r="12" spans="1:7" ht="15.6" x14ac:dyDescent="0.3">
      <c r="A12" s="1">
        <v>1101</v>
      </c>
      <c r="B12" s="1" t="s">
        <v>37</v>
      </c>
      <c r="C12" s="1" t="s">
        <v>38</v>
      </c>
      <c r="D12" s="1">
        <v>41.169712099999998</v>
      </c>
      <c r="E12" s="1">
        <v>-77.297131739999998</v>
      </c>
      <c r="F12" s="1" t="s">
        <v>39</v>
      </c>
      <c r="G12" s="1">
        <v>321600</v>
      </c>
    </row>
    <row r="13" spans="1:7" ht="15.6" x14ac:dyDescent="0.3">
      <c r="A13" s="1">
        <v>1111</v>
      </c>
      <c r="B13" s="1" t="s">
        <v>40</v>
      </c>
      <c r="C13" s="1" t="s">
        <v>41</v>
      </c>
      <c r="D13" s="1">
        <v>41.911469080000003</v>
      </c>
      <c r="E13" s="1">
        <v>-74.476207700000003</v>
      </c>
      <c r="F13" s="1" t="s">
        <v>42</v>
      </c>
      <c r="G13" s="1">
        <v>321610</v>
      </c>
    </row>
    <row r="14" spans="1:7" ht="15.6" x14ac:dyDescent="0.3">
      <c r="A14" s="1">
        <v>1121</v>
      </c>
      <c r="B14" s="1" t="s">
        <v>43</v>
      </c>
      <c r="C14" s="1" t="s">
        <v>44</v>
      </c>
      <c r="D14" s="1">
        <v>41.341410600000003</v>
      </c>
      <c r="E14" s="1">
        <v>-75.771935589999998</v>
      </c>
      <c r="F14" s="1" t="s">
        <v>45</v>
      </c>
      <c r="G14" s="1">
        <v>321620</v>
      </c>
    </row>
    <row r="15" spans="1:7" ht="15.6" x14ac:dyDescent="0.3">
      <c r="A15" s="1">
        <v>1131</v>
      </c>
      <c r="B15" s="1" t="s">
        <v>46</v>
      </c>
      <c r="C15" s="1" t="s">
        <v>47</v>
      </c>
      <c r="D15" s="1">
        <v>42.611941299999998</v>
      </c>
      <c r="E15" s="1">
        <v>-76.361231050000001</v>
      </c>
      <c r="F15" s="1" t="s">
        <v>48</v>
      </c>
      <c r="G15" s="1">
        <v>321630</v>
      </c>
    </row>
    <row r="16" spans="1:7" ht="15.6" x14ac:dyDescent="0.3">
      <c r="A16" s="1">
        <v>1141</v>
      </c>
      <c r="B16" s="1" t="s">
        <v>49</v>
      </c>
      <c r="C16" s="1" t="s">
        <v>50</v>
      </c>
      <c r="D16" s="1">
        <v>42.263045660000003</v>
      </c>
      <c r="E16" s="1">
        <v>-74.809169209999993</v>
      </c>
      <c r="F16" s="1" t="s">
        <v>51</v>
      </c>
      <c r="G16" s="1">
        <v>321640</v>
      </c>
    </row>
    <row r="17" spans="1:7" ht="15.6" x14ac:dyDescent="0.3">
      <c r="A17" s="1">
        <v>1151</v>
      </c>
      <c r="B17" s="1" t="s">
        <v>52</v>
      </c>
      <c r="C17" s="1" t="s">
        <v>53</v>
      </c>
      <c r="D17" s="1">
        <v>41.409190440000003</v>
      </c>
      <c r="E17" s="1">
        <v>-73.957700970000005</v>
      </c>
      <c r="F17" s="1" t="s">
        <v>54</v>
      </c>
      <c r="G17" s="1">
        <v>321650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AA37-97C1-40F0-B06B-56F12DD85334}">
  <dimension ref="A1:K17"/>
  <sheetViews>
    <sheetView workbookViewId="0">
      <selection sqref="A1:K1"/>
    </sheetView>
  </sheetViews>
  <sheetFormatPr defaultRowHeight="14.4" x14ac:dyDescent="0.3"/>
  <cols>
    <col min="1" max="1" width="14" customWidth="1"/>
    <col min="2" max="2" width="20.88671875" customWidth="1"/>
    <col min="3" max="3" width="15.6640625" customWidth="1"/>
    <col min="4" max="4" width="19.44140625" customWidth="1"/>
    <col min="5" max="5" width="16.44140625" customWidth="1"/>
    <col min="6" max="6" width="18.5546875" customWidth="1"/>
    <col min="7" max="7" width="16" customWidth="1"/>
    <col min="8" max="8" width="14.33203125" customWidth="1"/>
    <col min="9" max="9" width="17.6640625" customWidth="1"/>
    <col min="10" max="10" width="14.21875" customWidth="1"/>
    <col min="11" max="11" width="15.88671875" customWidth="1"/>
  </cols>
  <sheetData>
    <row r="1" spans="1:11" ht="15.6" x14ac:dyDescent="0.3">
      <c r="A1" s="17" t="s">
        <v>0</v>
      </c>
      <c r="B1" s="17" t="s">
        <v>55</v>
      </c>
      <c r="C1" s="17" t="s">
        <v>56</v>
      </c>
      <c r="D1" s="17" t="s">
        <v>57</v>
      </c>
      <c r="E1" s="17" t="s">
        <v>58</v>
      </c>
      <c r="F1" s="17" t="s">
        <v>59</v>
      </c>
      <c r="G1" s="17" t="s">
        <v>60</v>
      </c>
      <c r="H1" s="17" t="s">
        <v>61</v>
      </c>
      <c r="I1" s="17" t="s">
        <v>62</v>
      </c>
      <c r="J1" s="17" t="s">
        <v>63</v>
      </c>
      <c r="K1" s="17" t="s">
        <v>64</v>
      </c>
    </row>
    <row r="2" spans="1:11" ht="15.6" x14ac:dyDescent="0.3">
      <c r="A2" s="2">
        <v>1</v>
      </c>
      <c r="B2" s="2">
        <v>1001</v>
      </c>
      <c r="C2" s="2" t="s">
        <v>65</v>
      </c>
      <c r="D2" s="2">
        <v>123</v>
      </c>
      <c r="E2" s="2">
        <v>22</v>
      </c>
      <c r="F2" s="2">
        <v>24</v>
      </c>
      <c r="G2" s="2">
        <v>169</v>
      </c>
      <c r="H2" s="2">
        <v>613.77</v>
      </c>
      <c r="I2" s="2">
        <v>164.78</v>
      </c>
      <c r="J2" s="2">
        <v>194.88</v>
      </c>
      <c r="K2" s="2">
        <v>973.43</v>
      </c>
    </row>
    <row r="3" spans="1:11" ht="15.6" x14ac:dyDescent="0.3">
      <c r="A3" s="2">
        <v>2</v>
      </c>
      <c r="B3" s="2">
        <v>1001</v>
      </c>
      <c r="C3" s="2" t="s">
        <v>66</v>
      </c>
      <c r="D3" s="2">
        <v>190</v>
      </c>
      <c r="E3" s="2">
        <v>41</v>
      </c>
      <c r="F3" s="2">
        <v>57</v>
      </c>
      <c r="G3" s="2">
        <v>288</v>
      </c>
      <c r="H3" s="2">
        <v>948.1</v>
      </c>
      <c r="I3" s="2">
        <v>307.08999999999997</v>
      </c>
      <c r="J3" s="2">
        <v>462.84</v>
      </c>
      <c r="K3" s="2">
        <v>1718.03</v>
      </c>
    </row>
    <row r="4" spans="1:11" ht="15.6" x14ac:dyDescent="0.3">
      <c r="A4" s="2">
        <v>3</v>
      </c>
      <c r="B4" s="2">
        <v>1001</v>
      </c>
      <c r="C4" s="2" t="s">
        <v>67</v>
      </c>
      <c r="D4" s="2">
        <v>85</v>
      </c>
      <c r="E4" s="2">
        <v>47</v>
      </c>
      <c r="F4" s="2">
        <v>0</v>
      </c>
      <c r="G4" s="2">
        <v>132</v>
      </c>
      <c r="H4" s="2">
        <v>424.15</v>
      </c>
      <c r="I4" s="2">
        <v>352.03</v>
      </c>
      <c r="J4" s="2">
        <v>0</v>
      </c>
      <c r="K4" s="2">
        <v>776.18</v>
      </c>
    </row>
    <row r="5" spans="1:11" ht="15.6" x14ac:dyDescent="0.3">
      <c r="A5" s="2">
        <v>4</v>
      </c>
      <c r="B5" s="2">
        <v>1001</v>
      </c>
      <c r="C5" s="2" t="s">
        <v>68</v>
      </c>
      <c r="D5" s="2">
        <v>144</v>
      </c>
      <c r="E5" s="2">
        <v>32</v>
      </c>
      <c r="F5" s="2">
        <v>0</v>
      </c>
      <c r="G5" s="2">
        <v>176</v>
      </c>
      <c r="H5" s="2">
        <v>718.56</v>
      </c>
      <c r="I5" s="2">
        <v>239.68</v>
      </c>
      <c r="J5" s="2">
        <v>0</v>
      </c>
      <c r="K5" s="2">
        <v>958.24</v>
      </c>
    </row>
    <row r="6" spans="1:11" ht="15.6" x14ac:dyDescent="0.3">
      <c r="A6" s="2">
        <v>5</v>
      </c>
      <c r="B6" s="2">
        <v>1001</v>
      </c>
      <c r="C6" s="2" t="s">
        <v>69</v>
      </c>
      <c r="D6" s="2">
        <v>108</v>
      </c>
      <c r="E6" s="2">
        <v>29</v>
      </c>
      <c r="F6" s="2">
        <v>28</v>
      </c>
      <c r="G6" s="2">
        <v>165</v>
      </c>
      <c r="H6" s="2">
        <v>538.91999999999996</v>
      </c>
      <c r="I6" s="2">
        <v>217.21</v>
      </c>
      <c r="J6" s="2">
        <v>227.36</v>
      </c>
      <c r="K6" s="2">
        <v>983.49</v>
      </c>
    </row>
    <row r="7" spans="1:11" ht="15.6" x14ac:dyDescent="0.3">
      <c r="A7" s="2">
        <v>6</v>
      </c>
      <c r="B7" s="2">
        <v>1001</v>
      </c>
      <c r="C7" s="2" t="s">
        <v>70</v>
      </c>
      <c r="D7" s="2">
        <v>103</v>
      </c>
      <c r="E7" s="2">
        <v>24</v>
      </c>
      <c r="F7" s="2">
        <v>46</v>
      </c>
      <c r="G7" s="2">
        <v>173</v>
      </c>
      <c r="H7" s="2">
        <v>513.97</v>
      </c>
      <c r="I7" s="2">
        <v>179.76</v>
      </c>
      <c r="J7" s="2">
        <v>373.52</v>
      </c>
      <c r="K7" s="2">
        <v>1067.25</v>
      </c>
    </row>
    <row r="8" spans="1:11" ht="15.6" x14ac:dyDescent="0.3">
      <c r="A8" s="2">
        <v>7</v>
      </c>
      <c r="B8" s="2">
        <v>1001</v>
      </c>
      <c r="C8" s="2" t="s">
        <v>71</v>
      </c>
      <c r="D8" s="2">
        <v>101</v>
      </c>
      <c r="E8" s="2">
        <v>33</v>
      </c>
      <c r="F8" s="2">
        <v>92</v>
      </c>
      <c r="G8" s="2">
        <v>226</v>
      </c>
      <c r="H8" s="2">
        <v>503.99</v>
      </c>
      <c r="I8" s="2">
        <v>247.17</v>
      </c>
      <c r="J8" s="2">
        <v>747.04</v>
      </c>
      <c r="K8" s="2">
        <v>1498.2</v>
      </c>
    </row>
    <row r="9" spans="1:11" ht="15.6" x14ac:dyDescent="0.3">
      <c r="A9" s="2">
        <v>8</v>
      </c>
      <c r="B9" s="2">
        <v>1001</v>
      </c>
      <c r="C9" s="2" t="s">
        <v>72</v>
      </c>
      <c r="D9" s="2">
        <v>95</v>
      </c>
      <c r="E9" s="2">
        <v>47</v>
      </c>
      <c r="F9" s="2">
        <v>151</v>
      </c>
      <c r="G9" s="2">
        <v>293</v>
      </c>
      <c r="H9" s="2">
        <v>474.05</v>
      </c>
      <c r="I9" s="2">
        <v>352.03</v>
      </c>
      <c r="J9" s="2">
        <v>1226.1199999999999</v>
      </c>
      <c r="K9" s="2">
        <v>2052.1999999999998</v>
      </c>
    </row>
    <row r="10" spans="1:11" ht="15.6" x14ac:dyDescent="0.3">
      <c r="A10" s="2">
        <v>9</v>
      </c>
      <c r="B10" s="2">
        <v>1001</v>
      </c>
      <c r="C10" s="2" t="s">
        <v>73</v>
      </c>
      <c r="D10" s="2">
        <v>91</v>
      </c>
      <c r="E10" s="2">
        <v>16</v>
      </c>
      <c r="F10" s="2">
        <v>22</v>
      </c>
      <c r="G10" s="2">
        <v>129</v>
      </c>
      <c r="H10" s="2">
        <v>454.09</v>
      </c>
      <c r="I10" s="2">
        <v>119.84</v>
      </c>
      <c r="J10" s="2">
        <v>178.64</v>
      </c>
      <c r="K10" s="2">
        <v>752.57</v>
      </c>
    </row>
    <row r="11" spans="1:11" ht="15.6" x14ac:dyDescent="0.3">
      <c r="A11" s="2">
        <v>10</v>
      </c>
      <c r="B11" s="2">
        <v>1001</v>
      </c>
      <c r="C11" s="2" t="s">
        <v>74</v>
      </c>
      <c r="D11" s="2">
        <v>94</v>
      </c>
      <c r="E11" s="2">
        <v>46</v>
      </c>
      <c r="F11" s="2">
        <v>8</v>
      </c>
      <c r="G11" s="2">
        <v>148</v>
      </c>
      <c r="H11" s="2">
        <v>469.06</v>
      </c>
      <c r="I11" s="2">
        <v>344.54</v>
      </c>
      <c r="J11" s="2">
        <v>64.959999999999994</v>
      </c>
      <c r="K11" s="2">
        <v>878.56</v>
      </c>
    </row>
    <row r="12" spans="1:11" ht="15.6" x14ac:dyDescent="0.3">
      <c r="A12" s="2">
        <v>11</v>
      </c>
      <c r="B12" s="2">
        <v>1001</v>
      </c>
      <c r="C12" s="2" t="s">
        <v>75</v>
      </c>
      <c r="D12" s="2">
        <v>101</v>
      </c>
      <c r="E12" s="2">
        <v>36</v>
      </c>
      <c r="F12" s="2">
        <v>0</v>
      </c>
      <c r="G12" s="2">
        <v>137</v>
      </c>
      <c r="H12" s="2">
        <v>503.99</v>
      </c>
      <c r="I12" s="2">
        <v>269.64</v>
      </c>
      <c r="J12" s="2">
        <v>0</v>
      </c>
      <c r="K12" s="2">
        <v>773.63</v>
      </c>
    </row>
    <row r="13" spans="1:11" ht="15.6" x14ac:dyDescent="0.3">
      <c r="A13" s="2">
        <v>12</v>
      </c>
      <c r="B13" s="2">
        <v>1001</v>
      </c>
      <c r="C13" s="2" t="s">
        <v>76</v>
      </c>
      <c r="D13" s="2">
        <v>124</v>
      </c>
      <c r="E13" s="2">
        <v>33</v>
      </c>
      <c r="F13" s="2">
        <v>39</v>
      </c>
      <c r="G13" s="2">
        <v>196</v>
      </c>
      <c r="H13" s="2">
        <v>618.76</v>
      </c>
      <c r="I13" s="2">
        <v>247.17</v>
      </c>
      <c r="J13" s="2">
        <v>316.68</v>
      </c>
      <c r="K13" s="2">
        <v>1182.6099999999999</v>
      </c>
    </row>
    <row r="14" spans="1:11" ht="15.6" x14ac:dyDescent="0.3">
      <c r="A14" s="2">
        <v>13</v>
      </c>
      <c r="B14" s="2">
        <v>1001</v>
      </c>
      <c r="C14" s="2" t="s">
        <v>77</v>
      </c>
      <c r="D14" s="2">
        <v>104</v>
      </c>
      <c r="E14" s="2">
        <v>10</v>
      </c>
      <c r="F14" s="2">
        <v>44</v>
      </c>
      <c r="G14" s="2">
        <v>158</v>
      </c>
      <c r="H14" s="2">
        <v>518.96</v>
      </c>
      <c r="I14" s="2">
        <v>74.900000000000006</v>
      </c>
      <c r="J14" s="2">
        <v>357.28</v>
      </c>
      <c r="K14" s="2">
        <v>951.14</v>
      </c>
    </row>
    <row r="15" spans="1:11" ht="15.6" x14ac:dyDescent="0.3">
      <c r="A15" s="2">
        <v>14</v>
      </c>
      <c r="B15" s="2">
        <v>1001</v>
      </c>
      <c r="C15" s="2" t="s">
        <v>78</v>
      </c>
      <c r="D15" s="2">
        <v>97</v>
      </c>
      <c r="E15" s="2">
        <v>143</v>
      </c>
      <c r="F15" s="2">
        <v>54</v>
      </c>
      <c r="G15" s="2">
        <v>294</v>
      </c>
      <c r="H15" s="2">
        <v>484.03</v>
      </c>
      <c r="I15" s="2">
        <v>1071.07</v>
      </c>
      <c r="J15" s="2">
        <v>438.48</v>
      </c>
      <c r="K15" s="2">
        <v>1993.58</v>
      </c>
    </row>
    <row r="16" spans="1:11" ht="15.6" x14ac:dyDescent="0.3">
      <c r="A16" s="2">
        <v>15</v>
      </c>
      <c r="B16" s="2">
        <v>1001</v>
      </c>
      <c r="C16" s="2" t="s">
        <v>79</v>
      </c>
      <c r="D16" s="2">
        <v>127</v>
      </c>
      <c r="E16" s="2">
        <v>39</v>
      </c>
      <c r="F16" s="2">
        <v>44</v>
      </c>
      <c r="G16" s="2">
        <v>210</v>
      </c>
      <c r="H16" s="2">
        <v>633.73</v>
      </c>
      <c r="I16" s="2">
        <v>292.11</v>
      </c>
      <c r="J16" s="2">
        <v>357.28</v>
      </c>
      <c r="K16" s="2">
        <v>1283.1199999999999</v>
      </c>
    </row>
    <row r="17" spans="1:11" ht="15.6" x14ac:dyDescent="0.3">
      <c r="A17" s="2">
        <v>16</v>
      </c>
      <c r="B17" s="2">
        <v>1001</v>
      </c>
      <c r="C17" s="2" t="s">
        <v>80</v>
      </c>
      <c r="D17" s="2">
        <v>123</v>
      </c>
      <c r="E17" s="2">
        <v>127</v>
      </c>
      <c r="F17" s="2">
        <v>19</v>
      </c>
      <c r="G17" s="2">
        <v>269</v>
      </c>
      <c r="H17" s="2">
        <v>613.77</v>
      </c>
      <c r="I17" s="2">
        <v>951.23</v>
      </c>
      <c r="J17" s="2">
        <v>154.28</v>
      </c>
      <c r="K17" s="2">
        <v>1719.28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5E93-80F9-4E16-9AA4-CD4CD172B4F1}">
  <dimension ref="A1:D18"/>
  <sheetViews>
    <sheetView workbookViewId="0">
      <selection sqref="A1:D1"/>
    </sheetView>
  </sheetViews>
  <sheetFormatPr defaultRowHeight="14.4" x14ac:dyDescent="0.3"/>
  <cols>
    <col min="1" max="1" width="17.77734375" customWidth="1"/>
    <col min="2" max="2" width="17.33203125" customWidth="1"/>
    <col min="3" max="3" width="30.33203125" customWidth="1"/>
    <col min="4" max="4" width="20.77734375" customWidth="1"/>
  </cols>
  <sheetData>
    <row r="1" spans="1:4" ht="15.6" x14ac:dyDescent="0.3">
      <c r="A1" s="14" t="s">
        <v>0</v>
      </c>
      <c r="B1" s="14" t="s">
        <v>55</v>
      </c>
      <c r="C1" s="14" t="s">
        <v>56</v>
      </c>
      <c r="D1" s="14" t="s">
        <v>103</v>
      </c>
    </row>
    <row r="2" spans="1:4" ht="15.6" x14ac:dyDescent="0.3">
      <c r="A2" s="2">
        <v>1</v>
      </c>
      <c r="B2" s="2">
        <v>1001</v>
      </c>
      <c r="C2" s="2" t="s">
        <v>104</v>
      </c>
      <c r="D2" s="2" t="s">
        <v>105</v>
      </c>
    </row>
    <row r="3" spans="1:4" ht="15.6" x14ac:dyDescent="0.3">
      <c r="A3" s="2">
        <v>2</v>
      </c>
      <c r="B3" s="2">
        <v>1001</v>
      </c>
      <c r="C3" s="2" t="s">
        <v>106</v>
      </c>
      <c r="D3" s="2" t="s">
        <v>105</v>
      </c>
    </row>
    <row r="4" spans="1:4" ht="15.6" x14ac:dyDescent="0.3">
      <c r="A4" s="2">
        <v>3</v>
      </c>
      <c r="B4" s="2">
        <v>1001</v>
      </c>
      <c r="C4" s="2" t="s">
        <v>107</v>
      </c>
      <c r="D4" s="2" t="s">
        <v>105</v>
      </c>
    </row>
    <row r="5" spans="1:4" ht="15.6" x14ac:dyDescent="0.3">
      <c r="A5" s="2">
        <v>4</v>
      </c>
      <c r="B5" s="2">
        <v>1001</v>
      </c>
      <c r="C5" s="2" t="s">
        <v>108</v>
      </c>
      <c r="D5" s="2" t="s">
        <v>105</v>
      </c>
    </row>
    <row r="6" spans="1:4" ht="15.6" x14ac:dyDescent="0.3">
      <c r="A6" s="2">
        <v>5</v>
      </c>
      <c r="B6" s="2">
        <v>1001</v>
      </c>
      <c r="C6" s="2" t="s">
        <v>109</v>
      </c>
      <c r="D6" s="2" t="s">
        <v>105</v>
      </c>
    </row>
    <row r="7" spans="1:4" ht="15.6" x14ac:dyDescent="0.3">
      <c r="A7" s="2">
        <v>6</v>
      </c>
      <c r="B7" s="2">
        <v>1001</v>
      </c>
      <c r="C7" s="2" t="s">
        <v>110</v>
      </c>
      <c r="D7" s="2" t="s">
        <v>105</v>
      </c>
    </row>
    <row r="8" spans="1:4" ht="15.6" x14ac:dyDescent="0.3">
      <c r="A8" s="2">
        <v>7</v>
      </c>
      <c r="B8" s="2">
        <v>1001</v>
      </c>
      <c r="C8" s="2" t="s">
        <v>111</v>
      </c>
      <c r="D8" s="2" t="s">
        <v>105</v>
      </c>
    </row>
    <row r="9" spans="1:4" ht="15.6" x14ac:dyDescent="0.3">
      <c r="A9" s="2">
        <v>8</v>
      </c>
      <c r="B9" s="2">
        <v>1001</v>
      </c>
      <c r="C9" s="2" t="s">
        <v>112</v>
      </c>
      <c r="D9" s="2" t="s">
        <v>105</v>
      </c>
    </row>
    <row r="10" spans="1:4" ht="15.6" x14ac:dyDescent="0.3">
      <c r="A10" s="2">
        <v>9</v>
      </c>
      <c r="B10" s="2">
        <v>1001</v>
      </c>
      <c r="C10" s="2" t="s">
        <v>113</v>
      </c>
      <c r="D10" s="2" t="s">
        <v>105</v>
      </c>
    </row>
    <row r="11" spans="1:4" ht="15.6" x14ac:dyDescent="0.3">
      <c r="A11" s="2">
        <v>10</v>
      </c>
      <c r="B11" s="2">
        <v>1001</v>
      </c>
      <c r="C11" s="2" t="s">
        <v>114</v>
      </c>
      <c r="D11" s="2" t="s">
        <v>105</v>
      </c>
    </row>
    <row r="12" spans="1:4" ht="15.6" x14ac:dyDescent="0.3">
      <c r="A12" s="2">
        <v>11</v>
      </c>
      <c r="B12" s="2">
        <v>1001</v>
      </c>
      <c r="C12" s="2" t="s">
        <v>115</v>
      </c>
      <c r="D12" s="2" t="s">
        <v>105</v>
      </c>
    </row>
    <row r="13" spans="1:4" ht="15.6" x14ac:dyDescent="0.3">
      <c r="A13" s="2">
        <v>12</v>
      </c>
      <c r="B13" s="2">
        <v>1001</v>
      </c>
      <c r="C13" s="2" t="s">
        <v>116</v>
      </c>
      <c r="D13" s="2" t="s">
        <v>105</v>
      </c>
    </row>
    <row r="14" spans="1:4" ht="15.6" x14ac:dyDescent="0.3">
      <c r="A14" s="2">
        <v>13</v>
      </c>
      <c r="B14" s="2">
        <v>1001</v>
      </c>
      <c r="C14" s="2" t="s">
        <v>117</v>
      </c>
      <c r="D14" s="2" t="s">
        <v>105</v>
      </c>
    </row>
    <row r="15" spans="1:4" ht="15.6" x14ac:dyDescent="0.3">
      <c r="A15" s="2">
        <v>14</v>
      </c>
      <c r="B15" s="2">
        <v>1001</v>
      </c>
      <c r="C15" s="2" t="s">
        <v>118</v>
      </c>
      <c r="D15" s="2" t="s">
        <v>105</v>
      </c>
    </row>
    <row r="16" spans="1:4" ht="15.6" x14ac:dyDescent="0.3">
      <c r="A16" s="2">
        <v>15</v>
      </c>
      <c r="B16" s="2">
        <v>1001</v>
      </c>
      <c r="C16" s="2" t="s">
        <v>119</v>
      </c>
      <c r="D16" s="2" t="s">
        <v>105</v>
      </c>
    </row>
    <row r="17" spans="1:4" ht="15.6" x14ac:dyDescent="0.3">
      <c r="A17" s="2">
        <v>16</v>
      </c>
      <c r="B17" s="2">
        <v>1001</v>
      </c>
      <c r="C17" s="2" t="s">
        <v>120</v>
      </c>
      <c r="D17" s="2" t="s">
        <v>105</v>
      </c>
    </row>
    <row r="18" spans="1:4" ht="15.6" x14ac:dyDescent="0.3">
      <c r="A18" s="2">
        <v>17</v>
      </c>
      <c r="B18" s="2">
        <v>1011</v>
      </c>
      <c r="C18" s="2" t="s">
        <v>121</v>
      </c>
      <c r="D18" s="2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DBB3F-B46E-42EE-AB0A-4D9661F30E22}">
  <dimension ref="A1:C18"/>
  <sheetViews>
    <sheetView workbookViewId="0">
      <selection sqref="A1:C1"/>
    </sheetView>
  </sheetViews>
  <sheetFormatPr defaultRowHeight="14.4" x14ac:dyDescent="0.3"/>
  <cols>
    <col min="1" max="1" width="26.33203125" customWidth="1"/>
    <col min="2" max="2" width="21.5546875" customWidth="1"/>
    <col min="3" max="3" width="23.88671875" customWidth="1"/>
  </cols>
  <sheetData>
    <row r="1" spans="1:3" ht="15.6" x14ac:dyDescent="0.3">
      <c r="A1" s="15" t="s">
        <v>0</v>
      </c>
      <c r="B1" s="15" t="s">
        <v>1</v>
      </c>
      <c r="C1" s="15" t="s">
        <v>85</v>
      </c>
    </row>
    <row r="2" spans="1:3" ht="15.6" x14ac:dyDescent="0.3">
      <c r="A2" s="3">
        <v>321500</v>
      </c>
      <c r="B2" s="3" t="s">
        <v>86</v>
      </c>
      <c r="C2" s="3">
        <v>1</v>
      </c>
    </row>
    <row r="3" spans="1:3" ht="15.6" x14ac:dyDescent="0.3">
      <c r="A3" s="4">
        <v>321510</v>
      </c>
      <c r="B3" s="4" t="s">
        <v>87</v>
      </c>
      <c r="C3" s="4">
        <v>1</v>
      </c>
    </row>
    <row r="4" spans="1:3" ht="15.6" x14ac:dyDescent="0.3">
      <c r="A4" s="3">
        <v>321520</v>
      </c>
      <c r="B4" s="3" t="s">
        <v>88</v>
      </c>
      <c r="C4" s="3">
        <v>1</v>
      </c>
    </row>
    <row r="5" spans="1:3" ht="15.6" x14ac:dyDescent="0.3">
      <c r="A5" s="4">
        <v>321530</v>
      </c>
      <c r="B5" s="4" t="s">
        <v>89</v>
      </c>
      <c r="C5" s="4">
        <v>1</v>
      </c>
    </row>
    <row r="6" spans="1:3" ht="15.6" x14ac:dyDescent="0.3">
      <c r="A6" s="3">
        <v>321540</v>
      </c>
      <c r="B6" s="3" t="s">
        <v>90</v>
      </c>
      <c r="C6" s="3">
        <v>1</v>
      </c>
    </row>
    <row r="7" spans="1:3" ht="15.6" x14ac:dyDescent="0.3">
      <c r="A7" s="4">
        <v>321550</v>
      </c>
      <c r="B7" s="4" t="s">
        <v>91</v>
      </c>
      <c r="C7" s="4">
        <v>1</v>
      </c>
    </row>
    <row r="8" spans="1:3" ht="15.6" x14ac:dyDescent="0.3">
      <c r="A8" s="3">
        <v>321560</v>
      </c>
      <c r="B8" s="3" t="s">
        <v>92</v>
      </c>
      <c r="C8" s="3">
        <v>1</v>
      </c>
    </row>
    <row r="9" spans="1:3" ht="15.6" x14ac:dyDescent="0.3">
      <c r="A9" s="4">
        <v>321570</v>
      </c>
      <c r="B9" s="4" t="s">
        <v>93</v>
      </c>
      <c r="C9" s="4">
        <v>1</v>
      </c>
    </row>
    <row r="10" spans="1:3" ht="15.6" x14ac:dyDescent="0.3">
      <c r="A10" s="3">
        <v>321580</v>
      </c>
      <c r="B10" s="3" t="s">
        <v>94</v>
      </c>
      <c r="C10" s="3">
        <v>1</v>
      </c>
    </row>
    <row r="11" spans="1:3" ht="15.6" x14ac:dyDescent="0.3">
      <c r="A11" s="4">
        <v>321590</v>
      </c>
      <c r="B11" s="4" t="s">
        <v>95</v>
      </c>
      <c r="C11" s="4">
        <v>1</v>
      </c>
    </row>
    <row r="12" spans="1:3" ht="15.6" x14ac:dyDescent="0.3">
      <c r="A12" s="3">
        <v>321600</v>
      </c>
      <c r="B12" s="3" t="s">
        <v>96</v>
      </c>
      <c r="C12" s="3">
        <v>1</v>
      </c>
    </row>
    <row r="13" spans="1:3" ht="15.6" x14ac:dyDescent="0.3">
      <c r="A13" s="4">
        <v>321610</v>
      </c>
      <c r="B13" s="4" t="s">
        <v>97</v>
      </c>
      <c r="C13" s="4">
        <v>1</v>
      </c>
    </row>
    <row r="14" spans="1:3" ht="15.6" x14ac:dyDescent="0.3">
      <c r="A14" s="3">
        <v>321620</v>
      </c>
      <c r="B14" s="3" t="s">
        <v>98</v>
      </c>
      <c r="C14" s="3">
        <v>1</v>
      </c>
    </row>
    <row r="15" spans="1:3" ht="15.6" x14ac:dyDescent="0.3">
      <c r="A15" s="4">
        <v>321630</v>
      </c>
      <c r="B15" s="4" t="s">
        <v>99</v>
      </c>
      <c r="C15" s="4">
        <v>1</v>
      </c>
    </row>
    <row r="16" spans="1:3" ht="15.6" x14ac:dyDescent="0.3">
      <c r="A16" s="3">
        <v>321640</v>
      </c>
      <c r="B16" s="3" t="s">
        <v>100</v>
      </c>
      <c r="C16" s="3">
        <v>1</v>
      </c>
    </row>
    <row r="17" spans="1:3" ht="15.6" x14ac:dyDescent="0.3">
      <c r="A17" s="4">
        <v>321650</v>
      </c>
      <c r="B17" s="4" t="s">
        <v>101</v>
      </c>
      <c r="C17" s="4">
        <v>1</v>
      </c>
    </row>
    <row r="18" spans="1:3" ht="15.6" x14ac:dyDescent="0.3">
      <c r="A18" s="3">
        <v>321660</v>
      </c>
      <c r="B18" s="3" t="s">
        <v>102</v>
      </c>
      <c r="C18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19D53-9A18-452C-9A16-0C3628BC476F}">
  <dimension ref="A1:B5"/>
  <sheetViews>
    <sheetView workbookViewId="0">
      <selection activeCell="D6" sqref="D6"/>
    </sheetView>
  </sheetViews>
  <sheetFormatPr defaultRowHeight="14.4" x14ac:dyDescent="0.3"/>
  <cols>
    <col min="2" max="2" width="18.77734375" customWidth="1"/>
  </cols>
  <sheetData>
    <row r="1" spans="1:2" ht="15.6" x14ac:dyDescent="0.3">
      <c r="A1" s="16" t="s">
        <v>0</v>
      </c>
      <c r="B1" s="16" t="s">
        <v>1</v>
      </c>
    </row>
    <row r="2" spans="1:2" ht="15.6" x14ac:dyDescent="0.3">
      <c r="A2" s="2">
        <v>1</v>
      </c>
      <c r="B2" s="2" t="s">
        <v>81</v>
      </c>
    </row>
    <row r="3" spans="1:2" ht="15.6" x14ac:dyDescent="0.3">
      <c r="A3" s="2">
        <v>2</v>
      </c>
      <c r="B3" s="2" t="s">
        <v>82</v>
      </c>
    </row>
    <row r="4" spans="1:2" ht="15.6" x14ac:dyDescent="0.3">
      <c r="A4" s="2">
        <v>3</v>
      </c>
      <c r="B4" s="2" t="s">
        <v>83</v>
      </c>
    </row>
    <row r="5" spans="1:2" ht="15.6" x14ac:dyDescent="0.3">
      <c r="A5" s="2">
        <v>4</v>
      </c>
      <c r="B5" s="2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AA6B-A869-4CFD-B236-C597953A8D05}">
  <dimension ref="E3:L19"/>
  <sheetViews>
    <sheetView tabSelected="1" workbookViewId="0">
      <selection activeCell="P6" sqref="P6"/>
    </sheetView>
  </sheetViews>
  <sheetFormatPr defaultRowHeight="14.4" x14ac:dyDescent="0.3"/>
  <cols>
    <col min="5" max="5" width="10" customWidth="1"/>
    <col min="6" max="7" width="12.6640625" customWidth="1"/>
    <col min="8" max="8" width="5.5546875" customWidth="1"/>
    <col min="9" max="9" width="13" customWidth="1"/>
    <col min="10" max="10" width="11.21875" customWidth="1"/>
    <col min="11" max="11" width="9.5546875" customWidth="1"/>
    <col min="12" max="12" width="15.5546875" customWidth="1"/>
    <col min="14" max="14" width="15.77734375" customWidth="1"/>
  </cols>
  <sheetData>
    <row r="3" spans="5:12" ht="15.6" x14ac:dyDescent="0.3">
      <c r="K3" s="18" t="s">
        <v>122</v>
      </c>
      <c r="L3" s="19"/>
    </row>
    <row r="4" spans="5:12" ht="15.6" x14ac:dyDescent="0.3">
      <c r="F4" s="11"/>
      <c r="K4" s="6" t="s">
        <v>126</v>
      </c>
      <c r="L4" s="9" t="str" cm="1">
        <f t="array" ref="L4:L14">TRANSPOSE(orders!A1:K1)</f>
        <v>id</v>
      </c>
    </row>
    <row r="5" spans="5:12" ht="15.6" x14ac:dyDescent="0.3">
      <c r="F5" s="12"/>
      <c r="K5" s="7" t="s">
        <v>127</v>
      </c>
      <c r="L5" s="9" t="str">
        <v>account_id</v>
      </c>
    </row>
    <row r="6" spans="5:12" ht="15.6" x14ac:dyDescent="0.3">
      <c r="E6" s="20" t="s">
        <v>125</v>
      </c>
      <c r="F6" s="21"/>
      <c r="H6" s="24" t="s">
        <v>128</v>
      </c>
      <c r="I6" s="25"/>
      <c r="K6" s="7"/>
      <c r="L6" s="9" t="str">
        <v>occurred_at</v>
      </c>
    </row>
    <row r="7" spans="5:12" x14ac:dyDescent="0.3">
      <c r="E7" s="6" t="s">
        <v>126</v>
      </c>
      <c r="F7" s="9" t="str" cm="1">
        <f t="array" ref="F7:F10">TRANSPOSE(web_events!A1:D1)</f>
        <v>id</v>
      </c>
      <c r="H7" s="6" t="s">
        <v>126</v>
      </c>
      <c r="I7" s="9" t="str" cm="1">
        <f t="array" ref="I7:I13">TRANSPOSE(accounts!A1:G1)</f>
        <v>id</v>
      </c>
      <c r="K7" s="7"/>
      <c r="L7" s="9" t="str">
        <v>standard_qty</v>
      </c>
    </row>
    <row r="8" spans="5:12" x14ac:dyDescent="0.3">
      <c r="E8" s="7" t="s">
        <v>127</v>
      </c>
      <c r="F8" s="9" t="str">
        <v>account_id</v>
      </c>
      <c r="H8" s="7"/>
      <c r="I8" s="9" t="str">
        <v>name</v>
      </c>
      <c r="K8" s="7"/>
      <c r="L8" s="9" t="str">
        <v>gloss_qty</v>
      </c>
    </row>
    <row r="9" spans="5:12" x14ac:dyDescent="0.3">
      <c r="E9" s="7"/>
      <c r="F9" s="5" t="str">
        <v>occurred_at</v>
      </c>
      <c r="H9" s="7"/>
      <c r="I9" s="9" t="str">
        <v>website</v>
      </c>
      <c r="K9" s="7"/>
      <c r="L9" s="9" t="str">
        <v>poster_qty</v>
      </c>
    </row>
    <row r="10" spans="5:12" x14ac:dyDescent="0.3">
      <c r="E10" s="8"/>
      <c r="F10" s="5" t="str">
        <v>channel</v>
      </c>
      <c r="H10" s="7"/>
      <c r="I10" s="9" t="str">
        <v>lat</v>
      </c>
      <c r="K10" s="7"/>
      <c r="L10" s="10" t="str">
        <v>total</v>
      </c>
    </row>
    <row r="11" spans="5:12" x14ac:dyDescent="0.3">
      <c r="H11" s="7"/>
      <c r="I11" s="9" t="str">
        <v>long</v>
      </c>
      <c r="K11" s="7"/>
      <c r="L11" s="5" t="str">
        <v>standard_amt_usd</v>
      </c>
    </row>
    <row r="12" spans="5:12" x14ac:dyDescent="0.3">
      <c r="H12" s="7"/>
      <c r="I12" s="9" t="str">
        <v>primary_poc</v>
      </c>
      <c r="K12" s="7"/>
      <c r="L12" s="5" t="str">
        <v>gloss_amt_usd</v>
      </c>
    </row>
    <row r="13" spans="5:12" ht="15.6" x14ac:dyDescent="0.3">
      <c r="E13" s="26" t="s">
        <v>123</v>
      </c>
      <c r="F13" s="27"/>
      <c r="H13" s="8" t="s">
        <v>127</v>
      </c>
      <c r="I13" s="5" t="str">
        <v>sales_rep_id</v>
      </c>
      <c r="K13" s="7"/>
      <c r="L13" s="5" t="str">
        <v>poster_amt_usd</v>
      </c>
    </row>
    <row r="14" spans="5:12" x14ac:dyDescent="0.3">
      <c r="E14" s="6" t="s">
        <v>126</v>
      </c>
      <c r="F14" s="9" t="str" cm="1">
        <f t="array" ref="F14:F16">TRANSPOSE(sales_reps!A1:C1)</f>
        <v>id</v>
      </c>
      <c r="K14" s="8"/>
      <c r="L14" s="5" t="str">
        <v>total_amt_usd</v>
      </c>
    </row>
    <row r="15" spans="5:12" x14ac:dyDescent="0.3">
      <c r="E15" s="7"/>
      <c r="F15" s="9" t="str">
        <v>name</v>
      </c>
    </row>
    <row r="16" spans="5:12" x14ac:dyDescent="0.3">
      <c r="E16" s="8" t="s">
        <v>127</v>
      </c>
      <c r="F16" s="5" t="str">
        <v>region_id</v>
      </c>
    </row>
    <row r="17" spans="11:12" ht="15.6" x14ac:dyDescent="0.3">
      <c r="K17" s="22" t="s">
        <v>124</v>
      </c>
      <c r="L17" s="23"/>
    </row>
    <row r="18" spans="11:12" x14ac:dyDescent="0.3">
      <c r="K18" s="6" t="s">
        <v>126</v>
      </c>
      <c r="L18" s="9" t="str" cm="1">
        <f t="array" ref="L18:L19">TRANSPOSE(region!A1:B1)</f>
        <v>id</v>
      </c>
    </row>
    <row r="19" spans="11:12" x14ac:dyDescent="0.3">
      <c r="K19" s="8"/>
      <c r="L19" s="5" t="str">
        <v>name</v>
      </c>
    </row>
  </sheetData>
  <mergeCells count="5">
    <mergeCell ref="K3:L3"/>
    <mergeCell ref="E6:F6"/>
    <mergeCell ref="K17:L17"/>
    <mergeCell ref="H6:I6"/>
    <mergeCell ref="E13:F13"/>
  </mergeCells>
  <pageMargins left="0.7" right="0.7" top="0.75" bottom="0.75" header="0.3" footer="0.3"/>
  <pageSetup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532B99318309488DEE48D75B70783F" ma:contentTypeVersion="10" ma:contentTypeDescription="Ein neues Dokument erstellen." ma:contentTypeScope="" ma:versionID="acf95e1a3c46beab45fa6f32859bac85">
  <xsd:schema xmlns:xsd="http://www.w3.org/2001/XMLSchema" xmlns:xs="http://www.w3.org/2001/XMLSchema" xmlns:p="http://schemas.microsoft.com/office/2006/metadata/properties" xmlns:ns3="32d8894b-63d9-4d8a-bff8-5ac62dc4bf50" targetNamespace="http://schemas.microsoft.com/office/2006/metadata/properties" ma:root="true" ma:fieldsID="45e577014c71b0e4d387e79a3c7fc620" ns3:_="">
    <xsd:import namespace="32d8894b-63d9-4d8a-bff8-5ac62dc4bf5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8894b-63d9-4d8a-bff8-5ac62dc4b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F98E6E-6976-4FB5-8DF2-A4AADD0D6D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d8894b-63d9-4d8a-bff8-5ac62dc4bf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40B897-F379-4970-837E-6BA2BD3BCA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FEAF78-2F45-44F4-971A-9D98F6769AB8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32d8894b-63d9-4d8a-bff8-5ac62dc4bf50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accounts</vt:lpstr>
      <vt:lpstr>orders</vt:lpstr>
      <vt:lpstr>web_events</vt:lpstr>
      <vt:lpstr>sales_reps</vt:lpstr>
      <vt:lpstr>region</vt:lpstr>
      <vt:lpstr>ERD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Ighwre, Laura</dc:creator>
  <cp:lastModifiedBy>Ighwre, Laura</cp:lastModifiedBy>
  <cp:lastPrinted>2025-11-14T22:30:35Z</cp:lastPrinted>
  <dcterms:created xsi:type="dcterms:W3CDTF">2025-11-13T20:03:27Z</dcterms:created>
  <dcterms:modified xsi:type="dcterms:W3CDTF">2025-11-14T22:39:30Z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0x01010047532B99318309488DEE48D75B70783F</vt:lpwstr>
  </property>
</Properties>
</file>